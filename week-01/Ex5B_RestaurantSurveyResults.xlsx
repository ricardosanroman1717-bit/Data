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ricar\Documents\DataAnalytics\week-01\"/>
    </mc:Choice>
  </mc:AlternateContent>
  <xr:revisionPtr revIDLastSave="0" documentId="13_ncr:1_{1CB15D1F-2DAD-44E9-95B0-7F4C9DC2368C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Survey Results" sheetId="1" r:id="rId1"/>
    <sheet name="Customer Satisfaction" sheetId="2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" i="1" l="1"/>
  <c r="Q17" i="1"/>
  <c r="Q18" i="1"/>
  <c r="Q15" i="1"/>
  <c r="Q10" i="1"/>
  <c r="Q11" i="1"/>
  <c r="Q9" i="1"/>
  <c r="Q3" i="1"/>
  <c r="Q4" i="1"/>
  <c r="Q5" i="1"/>
  <c r="Q2" i="1"/>
  <c r="N10" i="1"/>
  <c r="N3" i="1"/>
  <c r="N4" i="1"/>
  <c r="N5" i="1"/>
  <c r="N6" i="1"/>
  <c r="N7" i="1"/>
  <c r="N8" i="1"/>
  <c r="N2" i="1"/>
  <c r="C10" i="1"/>
  <c r="D2" i="1"/>
  <c r="D3" i="1"/>
  <c r="D4" i="1"/>
  <c r="D5" i="1"/>
  <c r="D6" i="1"/>
  <c r="D7" i="1"/>
  <c r="D8" i="1"/>
</calcChain>
</file>

<file path=xl/sharedStrings.xml><?xml version="1.0" encoding="utf-8"?>
<sst xmlns="http://schemas.openxmlformats.org/spreadsheetml/2006/main" count="83" uniqueCount="53">
  <si>
    <t>ID</t>
  </si>
  <si>
    <t>Start time</t>
  </si>
  <si>
    <t>Completion time</t>
  </si>
  <si>
    <t>Email</t>
  </si>
  <si>
    <t>Name</t>
  </si>
  <si>
    <t>Last modified time</t>
  </si>
  <si>
    <t>How would you rate your most recent dining experience with us?</t>
  </si>
  <si>
    <t>How often do you visit our restaurant?</t>
  </si>
  <si>
    <t>Which of our menu items or categories is your absolute favorite?</t>
  </si>
  <si>
    <t>What kind of customer reward would you be most excited about?</t>
  </si>
  <si>
    <t>Is there anything else you'd like us to add or improve on our menu?</t>
  </si>
  <si>
    <t>gabidemi@my.yearupunited.org</t>
  </si>
  <si>
    <t>gbolahan abidemi</t>
  </si>
  <si>
    <t>2 Star</t>
  </si>
  <si>
    <t>Monthly</t>
  </si>
  <si>
    <t>Wings</t>
  </si>
  <si>
    <t>Free Drink With Meal</t>
  </si>
  <si>
    <t>Put more seasoning on the wings</t>
  </si>
  <si>
    <t>msaeteros@my.yearupunited.org</t>
  </si>
  <si>
    <t>marilyn saeteros</t>
  </si>
  <si>
    <t>3 Star</t>
  </si>
  <si>
    <t>Seasonal</t>
  </si>
  <si>
    <t>Burger</t>
  </si>
  <si>
    <t xml:space="preserve">Add more drinking options like refreshments </t>
  </si>
  <si>
    <t>ilee@my.yearupunited.org</t>
  </si>
  <si>
    <t>idasha lee</t>
  </si>
  <si>
    <t>4 Star</t>
  </si>
  <si>
    <t>15% Off Select Items</t>
  </si>
  <si>
    <t>amrapshtija@my.yearupunited.org</t>
  </si>
  <si>
    <t>ardita mrapshtija</t>
  </si>
  <si>
    <t>aahmed1@my.yearupunited.org</t>
  </si>
  <si>
    <t>alvie ahmed</t>
  </si>
  <si>
    <t>5 Star</t>
  </si>
  <si>
    <t>Never</t>
  </si>
  <si>
    <t>Nachos</t>
  </si>
  <si>
    <t>tstaana@my.yearupunited.org</t>
  </si>
  <si>
    <t>thania staana</t>
  </si>
  <si>
    <t>Steaks</t>
  </si>
  <si>
    <t>BOGO</t>
  </si>
  <si>
    <t>alewis3@my.yearupunited.org</t>
  </si>
  <si>
    <t>ajani lewis</t>
  </si>
  <si>
    <t>Weekly</t>
  </si>
  <si>
    <t>Add more wing flavors.</t>
  </si>
  <si>
    <t>Time To Complete</t>
  </si>
  <si>
    <t>Numeric Rating</t>
  </si>
  <si>
    <t>Average Rating</t>
  </si>
  <si>
    <t>Favorite Menu Item</t>
  </si>
  <si>
    <t>Number of Responses</t>
  </si>
  <si>
    <t>Preferred Reward</t>
  </si>
  <si>
    <t>Visit Frequency</t>
  </si>
  <si>
    <t>Row Labels</t>
  </si>
  <si>
    <t>Grand Total</t>
  </si>
  <si>
    <t>Count of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</si>
</sst>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6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NumberFormat="1"/>
    <xf numFmtId="166" fontId="0" fillId="0" borderId="0" xfId="0" applyNumberFormat="1"/>
    <xf numFmtId="45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2">
    <dxf>
      <numFmt numFmtId="28" formatCode="mm:ss"/>
    </dxf>
    <dxf>
      <numFmt numFmtId="166" formatCode="mm/dd/yyyy\ hh:mm:ss"/>
    </dxf>
    <dxf>
      <numFmt numFmtId="166" formatCode="mm/dd/yyyy\ 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[Ex5B_RestaurantSurveyResults.xlsx]Customer Satisfaction!PivotTable1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Customer Dining Experience Ratings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Satisfaction'!$B$1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Satisfaction'!$A$2:$A$6</c:f>
              <c:strCache>
                <c:ptCount val="4"/>
                <c:pt idx="0">
                  <c:v>2 Star</c:v>
                </c:pt>
                <c:pt idx="1">
                  <c:v>3 Star</c:v>
                </c:pt>
                <c:pt idx="2">
                  <c:v>4 Star</c:v>
                </c:pt>
                <c:pt idx="3">
                  <c:v>5 Star</c:v>
                </c:pt>
              </c:strCache>
            </c:strRef>
          </c:cat>
          <c:val>
            <c:numRef>
              <c:f>'Customer Satisfaction'!$B$2:$B$6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7A-4E30-82AE-C535683E5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92997072"/>
        <c:axId val="146635311"/>
      </c:barChart>
      <c:catAx>
        <c:axId val="99299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35311"/>
        <c:crosses val="autoZero"/>
        <c:auto val="1"/>
        <c:lblAlgn val="ctr"/>
        <c:lblOffset val="100"/>
        <c:noMultiLvlLbl val="0"/>
      </c:catAx>
      <c:valAx>
        <c:axId val="14663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99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7EA54D-6938-13A3-C208-A8CF1C2C8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sanroman" refreshedDate="46311.568211342594" createdVersion="8" refreshedVersion="8" minRefreshableVersion="3" recordCount="7" xr:uid="{C61CAAEA-C3B0-4F97-9C71-8330EBB0692A}">
  <cacheSource type="worksheet">
    <worksheetSource name="Table1"/>
  </cacheSource>
  <cacheFields count="12">
    <cacheField name="ID" numFmtId="0">
      <sharedItems containsSemiMixedTypes="0" containsString="0" containsNumber="1" containsInteger="1" minValue="1" maxValue="7"/>
    </cacheField>
    <cacheField name="Start time" numFmtId="166">
      <sharedItems containsSemiMixedTypes="0" containsNonDate="0" containsDate="1" containsString="0" minDate="2026-10-14T20:56:04" maxDate="2026-10-16T11:12:03"/>
    </cacheField>
    <cacheField name="Completion time" numFmtId="166">
      <sharedItems containsSemiMixedTypes="0" containsNonDate="0" containsDate="1" containsString="0" minDate="2026-10-14T20:56:45" maxDate="2026-10-16T11:13:01"/>
    </cacheField>
    <cacheField name="Time To Complete" numFmtId="45">
      <sharedItems containsSemiMixedTypes="0" containsNonDate="0" containsDate="1" containsString="0" minDate="1899-12-30T00:00:28" maxDate="1899-12-30T00:02:12"/>
    </cacheField>
    <cacheField name="Email" numFmtId="0">
      <sharedItems/>
    </cacheField>
    <cacheField name="Name" numFmtId="0">
      <sharedItems/>
    </cacheField>
    <cacheField name="Last modified time" numFmtId="164">
      <sharedItems containsNonDate="0" containsString="0" containsBlank="1"/>
    </cacheField>
    <cacheField name="How would you rate your most recent dining experience with us?" numFmtId="0">
      <sharedItems count="4">
        <s v="2 Star"/>
        <s v="3 Star"/>
        <s v="4 Star"/>
        <s v="5 Star"/>
      </sharedItems>
    </cacheField>
    <cacheField name="How often do you visit our restaurant?" numFmtId="0">
      <sharedItems/>
    </cacheField>
    <cacheField name="Which of our menu items or categories is your absolute favorite?" numFmtId="0">
      <sharedItems/>
    </cacheField>
    <cacheField name="What kind of customer reward would you be most excited about?" numFmtId="0">
      <sharedItems/>
    </cacheField>
    <cacheField name="Is there anything else you'd like us to add or improve on our menu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d v="2026-10-14T20:56:04"/>
    <d v="2026-10-14T20:56:45"/>
    <d v="1899-12-30T00:00:41"/>
    <s v="gabidemi@my.yearupunited.org"/>
    <s v="gbolahan abidemi"/>
    <m/>
    <x v="0"/>
    <s v="Monthly"/>
    <s v="Wings"/>
    <s v="Free Drink With Meal"/>
    <s v="Put more seasoning on the wings"/>
  </r>
  <r>
    <n v="2"/>
    <d v="2026-10-15T11:16:45"/>
    <d v="2026-10-15T11:17:42"/>
    <d v="1899-12-30T00:00:57"/>
    <s v="msaeteros@my.yearupunited.org"/>
    <s v="marilyn saeteros"/>
    <m/>
    <x v="1"/>
    <s v="Seasonal"/>
    <s v="Burger"/>
    <s v="Free Drink With Meal"/>
    <s v="Add more drinking options like refreshments "/>
  </r>
  <r>
    <n v="3"/>
    <d v="2026-10-15T13:21:04"/>
    <d v="2026-10-15T13:21:52"/>
    <d v="1899-12-30T00:00:48"/>
    <s v="ilee@my.yearupunited.org"/>
    <s v="idasha lee"/>
    <m/>
    <x v="2"/>
    <s v="Seasonal"/>
    <s v="Wings"/>
    <s v="15% Off Select Items"/>
    <m/>
  </r>
  <r>
    <n v="4"/>
    <d v="2026-10-15T14:21:33"/>
    <d v="2026-10-15T14:22:01"/>
    <d v="1899-12-30T00:00:28"/>
    <s v="amrapshtija@my.yearupunited.org"/>
    <s v="ardita mrapshtija"/>
    <m/>
    <x v="2"/>
    <s v="Monthly"/>
    <s v="Burger"/>
    <s v="Free Drink With Meal"/>
    <m/>
  </r>
  <r>
    <n v="5"/>
    <d v="2026-10-16T10:51:45"/>
    <d v="2026-10-16T10:53:57"/>
    <d v="1899-12-30T00:02:12"/>
    <s v="aahmed1@my.yearupunited.org"/>
    <s v="alvie ahmed"/>
    <m/>
    <x v="3"/>
    <s v="Never"/>
    <s v="Nachos"/>
    <s v="15% Off Select Items"/>
    <m/>
  </r>
  <r>
    <n v="6"/>
    <d v="2026-10-16T11:00:55"/>
    <d v="2026-10-16T11:01:31"/>
    <d v="1899-12-30T00:00:36"/>
    <s v="tstaana@my.yearupunited.org"/>
    <s v="thania staana"/>
    <m/>
    <x v="2"/>
    <s v="Seasonal"/>
    <s v="Steaks"/>
    <s v="BOGO"/>
    <m/>
  </r>
  <r>
    <n v="7"/>
    <d v="2026-10-16T11:12:03"/>
    <d v="2026-10-16T11:13:01"/>
    <d v="1899-12-30T00:00:58"/>
    <s v="alewis3@my.yearupunited.org"/>
    <s v="ajani lewis"/>
    <m/>
    <x v="3"/>
    <s v="Weekly"/>
    <s v="Wings"/>
    <s v="Free Drink With Meal"/>
    <s v="Add more wing flavors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18095-A01A-4FA2-A460-3D879D33251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6" firstHeaderRow="1" firstDataRow="1" firstDataCol="1"/>
  <pivotFields count="12">
    <pivotField dataField="1" showAll="0"/>
    <pivotField numFmtId="166" showAll="0"/>
    <pivotField numFmtId="166" showAll="0"/>
    <pivotField numFmtId="45"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8" totalsRowShown="0">
  <autoFilter ref="A1:L8" xr:uid="{00000000-0009-0000-0100-000001000000}"/>
  <tableColumns count="12">
    <tableColumn id="1" xr3:uid="{00000000-0010-0000-0000-000001000000}" name="ID" dataDxfId="3"/>
    <tableColumn id="2" xr3:uid="{00000000-0010-0000-0000-000002000000}" name="Start time" dataDxfId="2"/>
    <tableColumn id="3" xr3:uid="{00000000-0010-0000-0000-000003000000}" name="Completion time" dataDxfId="1"/>
    <tableColumn id="12" xr3:uid="{520C28D1-6447-42A7-9390-DFC478930994}" name="Time To Complete" dataDxfId="0">
      <calculatedColumnFormula>C2-B2</calculatedColumnFormula>
    </tableColumn>
    <tableColumn id="4" xr3:uid="{00000000-0010-0000-0000-000004000000}" name="Email" dataDxfId="11"/>
    <tableColumn id="5" xr3:uid="{00000000-0010-0000-0000-000005000000}" name="Name" dataDxfId="10"/>
    <tableColumn id="6" xr3:uid="{00000000-0010-0000-0000-000006000000}" name="Last modified time" dataDxfId="9"/>
    <tableColumn id="7" xr3:uid="{00000000-0010-0000-0000-000007000000}" name="How would you rate your most recent dining experience with us?" dataDxfId="8"/>
    <tableColumn id="8" xr3:uid="{00000000-0010-0000-0000-000008000000}" name="How often do you visit our restaurant?" dataDxfId="7"/>
    <tableColumn id="9" xr3:uid="{00000000-0010-0000-0000-000009000000}" name="Which of our menu items or categories is your absolute favorite?" dataDxfId="6"/>
    <tableColumn id="10" xr3:uid="{00000000-0010-0000-0000-00000A000000}" name="What kind of customer reward would you be most excited about?" dataDxfId="5"/>
    <tableColumn id="11" xr3:uid="{00000000-0010-0000-0000-00000B000000}" name="Is there anything else you'd like us to add or improve on our menu?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zoomScale="145" zoomScaleNormal="145" workbookViewId="0">
      <selection activeCell="A2" sqref="A2"/>
    </sheetView>
  </sheetViews>
  <sheetFormatPr defaultRowHeight="15" x14ac:dyDescent="0.25"/>
  <cols>
    <col min="1" max="3" width="20" bestFit="1" customWidth="1"/>
    <col min="4" max="4" width="19.140625" customWidth="1"/>
    <col min="5" max="5" width="33.7109375" customWidth="1"/>
    <col min="6" max="7" width="20" bestFit="1" customWidth="1"/>
    <col min="8" max="8" width="62.42578125" bestFit="1" customWidth="1"/>
    <col min="9" max="9" width="38" bestFit="1" customWidth="1"/>
    <col min="10" max="10" width="62.140625" bestFit="1" customWidth="1"/>
    <col min="11" max="11" width="62.7109375" bestFit="1" customWidth="1"/>
    <col min="12" max="12" width="64.42578125" bestFit="1" customWidth="1"/>
    <col min="13" max="13" width="17" customWidth="1"/>
    <col min="14" max="14" width="16.7109375" customWidth="1"/>
    <col min="16" max="16" width="19.85546875" customWidth="1"/>
    <col min="17" max="17" width="19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43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N1" t="s">
        <v>44</v>
      </c>
      <c r="P1" t="s">
        <v>46</v>
      </c>
      <c r="Q1" t="s">
        <v>47</v>
      </c>
    </row>
    <row r="2" spans="1:17" x14ac:dyDescent="0.25">
      <c r="A2">
        <v>1</v>
      </c>
      <c r="B2" s="3">
        <v>46309.87226851852</v>
      </c>
      <c r="C2" s="3">
        <v>46309.872743055559</v>
      </c>
      <c r="D2" s="4">
        <f t="shared" ref="D2:D8" si="0">C2-B2</f>
        <v>4.7453703882638365E-4</v>
      </c>
      <c r="E2" t="s">
        <v>11</v>
      </c>
      <c r="F2" t="s">
        <v>12</v>
      </c>
      <c r="G2" s="1"/>
      <c r="H2" t="s">
        <v>13</v>
      </c>
      <c r="I2" t="s">
        <v>14</v>
      </c>
      <c r="J2" t="s">
        <v>15</v>
      </c>
      <c r="K2" t="s">
        <v>16</v>
      </c>
      <c r="L2" t="s">
        <v>17</v>
      </c>
      <c r="N2">
        <f>VALUE(LEFT(H2,1))</f>
        <v>2</v>
      </c>
      <c r="P2" t="s">
        <v>15</v>
      </c>
      <c r="Q2">
        <f>COUNTIF($J$2:$J$8,P2)</f>
        <v>3</v>
      </c>
    </row>
    <row r="3" spans="1:17" x14ac:dyDescent="0.25">
      <c r="A3">
        <v>2</v>
      </c>
      <c r="B3" s="3">
        <v>46310.469965277778</v>
      </c>
      <c r="C3" s="3">
        <v>46310.470625000002</v>
      </c>
      <c r="D3" s="4">
        <f t="shared" si="0"/>
        <v>6.5972222364507616E-4</v>
      </c>
      <c r="E3" t="s">
        <v>18</v>
      </c>
      <c r="F3" t="s">
        <v>19</v>
      </c>
      <c r="G3" s="1"/>
      <c r="H3" t="s">
        <v>20</v>
      </c>
      <c r="I3" t="s">
        <v>21</v>
      </c>
      <c r="J3" t="s">
        <v>22</v>
      </c>
      <c r="K3" t="s">
        <v>16</v>
      </c>
      <c r="L3" t="s">
        <v>23</v>
      </c>
      <c r="N3">
        <f t="shared" ref="N3:N8" si="1">VALUE(LEFT(H3,1))</f>
        <v>3</v>
      </c>
      <c r="P3" t="s">
        <v>22</v>
      </c>
      <c r="Q3">
        <f t="shared" ref="Q3:Q5" si="2">COUNTIF($J$2:$J$8,P3)</f>
        <v>2</v>
      </c>
    </row>
    <row r="4" spans="1:17" x14ac:dyDescent="0.25">
      <c r="A4">
        <v>3</v>
      </c>
      <c r="B4" s="3">
        <v>46310.556296296294</v>
      </c>
      <c r="C4" s="3">
        <v>46310.556851851848</v>
      </c>
      <c r="D4" s="4">
        <f t="shared" si="0"/>
        <v>5.5555555445607752E-4</v>
      </c>
      <c r="E4" t="s">
        <v>24</v>
      </c>
      <c r="F4" t="s">
        <v>25</v>
      </c>
      <c r="G4" s="1"/>
      <c r="H4" t="s">
        <v>26</v>
      </c>
      <c r="I4" t="s">
        <v>21</v>
      </c>
      <c r="J4" t="s">
        <v>15</v>
      </c>
      <c r="K4" t="s">
        <v>27</v>
      </c>
      <c r="N4">
        <f t="shared" si="1"/>
        <v>4</v>
      </c>
      <c r="P4" t="s">
        <v>34</v>
      </c>
      <c r="Q4">
        <f t="shared" si="2"/>
        <v>1</v>
      </c>
    </row>
    <row r="5" spans="1:17" x14ac:dyDescent="0.25">
      <c r="A5">
        <v>4</v>
      </c>
      <c r="B5" s="3">
        <v>46310.598298611112</v>
      </c>
      <c r="C5" s="3">
        <v>46310.598622685182</v>
      </c>
      <c r="D5" s="4">
        <f t="shared" si="0"/>
        <v>3.2407406979473308E-4</v>
      </c>
      <c r="E5" t="s">
        <v>28</v>
      </c>
      <c r="F5" t="s">
        <v>29</v>
      </c>
      <c r="G5" s="1"/>
      <c r="H5" t="s">
        <v>26</v>
      </c>
      <c r="I5" t="s">
        <v>14</v>
      </c>
      <c r="J5" t="s">
        <v>22</v>
      </c>
      <c r="K5" t="s">
        <v>16</v>
      </c>
      <c r="N5">
        <f t="shared" si="1"/>
        <v>4</v>
      </c>
      <c r="P5" t="s">
        <v>37</v>
      </c>
      <c r="Q5">
        <f t="shared" si="2"/>
        <v>1</v>
      </c>
    </row>
    <row r="6" spans="1:17" x14ac:dyDescent="0.25">
      <c r="A6">
        <v>5</v>
      </c>
      <c r="B6" s="3">
        <v>46311.452604166669</v>
      </c>
      <c r="C6" s="3">
        <v>46311.454131944447</v>
      </c>
      <c r="D6" s="4">
        <f t="shared" si="0"/>
        <v>1.527777778392192E-3</v>
      </c>
      <c r="E6" t="s">
        <v>30</v>
      </c>
      <c r="F6" t="s">
        <v>31</v>
      </c>
      <c r="G6" s="1"/>
      <c r="H6" t="s">
        <v>32</v>
      </c>
      <c r="I6" t="s">
        <v>33</v>
      </c>
      <c r="J6" t="s">
        <v>34</v>
      </c>
      <c r="K6" t="s">
        <v>27</v>
      </c>
      <c r="N6">
        <f t="shared" si="1"/>
        <v>5</v>
      </c>
    </row>
    <row r="7" spans="1:17" x14ac:dyDescent="0.25">
      <c r="A7">
        <v>6</v>
      </c>
      <c r="B7" s="3">
        <v>46311.458969907406</v>
      </c>
      <c r="C7" s="3">
        <v>46311.459386574075</v>
      </c>
      <c r="D7" s="4">
        <f t="shared" si="0"/>
        <v>4.1666666948003694E-4</v>
      </c>
      <c r="E7" t="s">
        <v>35</v>
      </c>
      <c r="F7" t="s">
        <v>36</v>
      </c>
      <c r="G7" s="1"/>
      <c r="H7" t="s">
        <v>26</v>
      </c>
      <c r="I7" t="s">
        <v>21</v>
      </c>
      <c r="J7" t="s">
        <v>37</v>
      </c>
      <c r="K7" t="s">
        <v>38</v>
      </c>
      <c r="N7">
        <f t="shared" si="1"/>
        <v>4</v>
      </c>
    </row>
    <row r="8" spans="1:17" x14ac:dyDescent="0.25">
      <c r="A8">
        <v>7</v>
      </c>
      <c r="B8" s="3">
        <v>46311.46670138889</v>
      </c>
      <c r="C8" s="3">
        <v>46311.467372685183</v>
      </c>
      <c r="D8" s="4">
        <f t="shared" si="0"/>
        <v>6.7129629314877093E-4</v>
      </c>
      <c r="E8" t="s">
        <v>39</v>
      </c>
      <c r="F8" t="s">
        <v>40</v>
      </c>
      <c r="G8" s="1"/>
      <c r="H8" t="s">
        <v>32</v>
      </c>
      <c r="I8" t="s">
        <v>41</v>
      </c>
      <c r="J8" t="s">
        <v>15</v>
      </c>
      <c r="K8" t="s">
        <v>16</v>
      </c>
      <c r="L8" t="s">
        <v>42</v>
      </c>
      <c r="N8">
        <f t="shared" si="1"/>
        <v>5</v>
      </c>
      <c r="P8" t="s">
        <v>48</v>
      </c>
      <c r="Q8" t="s">
        <v>47</v>
      </c>
    </row>
    <row r="9" spans="1:17" x14ac:dyDescent="0.25">
      <c r="P9" t="s">
        <v>16</v>
      </c>
      <c r="Q9">
        <f>COUNTIF($K$2:$K$8,P9)</f>
        <v>4</v>
      </c>
    </row>
    <row r="10" spans="1:17" x14ac:dyDescent="0.25">
      <c r="C10" s="4">
        <f>AVERAGE(D2:D8)</f>
        <v>6.6137566110618148E-4</v>
      </c>
      <c r="M10" t="s">
        <v>45</v>
      </c>
      <c r="N10" s="5">
        <f>AVERAGE(N2:N8)</f>
        <v>3.8571428571428572</v>
      </c>
      <c r="P10" t="s">
        <v>27</v>
      </c>
      <c r="Q10">
        <f t="shared" ref="Q10:Q11" si="3">COUNTIF($K$2:$K$8,P10)</f>
        <v>2</v>
      </c>
    </row>
    <row r="11" spans="1:17" x14ac:dyDescent="0.25">
      <c r="P11" t="s">
        <v>38</v>
      </c>
      <c r="Q11">
        <f t="shared" si="3"/>
        <v>1</v>
      </c>
    </row>
    <row r="14" spans="1:17" x14ac:dyDescent="0.25">
      <c r="P14" t="s">
        <v>49</v>
      </c>
      <c r="Q14" t="s">
        <v>47</v>
      </c>
    </row>
    <row r="15" spans="1:17" x14ac:dyDescent="0.25">
      <c r="P15" t="s">
        <v>14</v>
      </c>
      <c r="Q15">
        <f>COUNTIF($I$2:$I$8,P15)</f>
        <v>2</v>
      </c>
    </row>
    <row r="16" spans="1:17" x14ac:dyDescent="0.25">
      <c r="P16" t="s">
        <v>21</v>
      </c>
      <c r="Q16">
        <f t="shared" ref="Q16:Q18" si="4">COUNTIF($I$2:$I$8,P16)</f>
        <v>3</v>
      </c>
    </row>
    <row r="17" spans="16:17" x14ac:dyDescent="0.25">
      <c r="P17" t="s">
        <v>41</v>
      </c>
      <c r="Q17">
        <f t="shared" si="4"/>
        <v>1</v>
      </c>
    </row>
    <row r="18" spans="16:17" x14ac:dyDescent="0.25">
      <c r="P18" t="s">
        <v>33</v>
      </c>
      <c r="Q18">
        <f t="shared" si="4"/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FF953-2F03-4F8B-9FE8-AAAC3C2B6839}">
  <dimension ref="A1:B6"/>
  <sheetViews>
    <sheetView tabSelected="1" workbookViewId="0">
      <selection activeCell="B2" sqref="B2"/>
    </sheetView>
  </sheetViews>
  <sheetFormatPr defaultRowHeight="15" x14ac:dyDescent="0.25"/>
  <cols>
    <col min="1" max="1" width="13.140625" bestFit="1" customWidth="1"/>
    <col min="2" max="2" width="10.85546875" bestFit="1" customWidth="1"/>
  </cols>
  <sheetData>
    <row r="1" spans="1:2" x14ac:dyDescent="0.25">
      <c r="A1" s="6" t="s">
        <v>50</v>
      </c>
      <c r="B1" t="s">
        <v>52</v>
      </c>
    </row>
    <row r="2" spans="1:2" x14ac:dyDescent="0.25">
      <c r="A2" s="7" t="s">
        <v>13</v>
      </c>
      <c r="B2" s="2">
        <v>1</v>
      </c>
    </row>
    <row r="3" spans="1:2" x14ac:dyDescent="0.25">
      <c r="A3" s="7" t="s">
        <v>20</v>
      </c>
      <c r="B3" s="2">
        <v>1</v>
      </c>
    </row>
    <row r="4" spans="1:2" x14ac:dyDescent="0.25">
      <c r="A4" s="7" t="s">
        <v>26</v>
      </c>
      <c r="B4" s="2">
        <v>3</v>
      </c>
    </row>
    <row r="5" spans="1:2" x14ac:dyDescent="0.25">
      <c r="A5" s="7" t="s">
        <v>32</v>
      </c>
      <c r="B5" s="2">
        <v>2</v>
      </c>
    </row>
    <row r="6" spans="1:2" x14ac:dyDescent="0.25">
      <c r="A6" s="7" t="s">
        <v>51</v>
      </c>
      <c r="B6" s="2">
        <v>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Results</vt:lpstr>
      <vt:lpstr>Customer Satisfaction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sanroman</dc:creator>
  <cp:lastModifiedBy>ricardo sanroman-espinosa</cp:lastModifiedBy>
  <dcterms:created xsi:type="dcterms:W3CDTF">2026-10-16T16:33:19Z</dcterms:created>
  <dcterms:modified xsi:type="dcterms:W3CDTF">2026-10-16T17:44:05Z</dcterms:modified>
</cp:coreProperties>
</file>