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\Documents\DataAnalytics\week-01\"/>
    </mc:Choice>
  </mc:AlternateContent>
  <xr:revisionPtr revIDLastSave="0" documentId="13_ncr:1_{BD768722-453D-46DD-BBED-CFE6265130B1}" xr6:coauthVersionLast="47" xr6:coauthVersionMax="47" xr10:uidLastSave="{00000000-0000-0000-0000-000000000000}"/>
  <bookViews>
    <workbookView xWindow="-120" yWindow="-120" windowWidth="29040" windowHeight="15720" activeTab="2" xr2:uid="{8FB92F52-C637-48DB-BEC4-67126D3CCB79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Term'!$A$1:$E$1</definedName>
  </definedNames>
  <calcPr calcId="191029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C2" i="3"/>
  <c r="C3" i="3"/>
  <c r="C4" i="3"/>
  <c r="C5" i="3"/>
  <c r="C6" i="3"/>
  <c r="C7" i="3"/>
  <c r="C8" i="3"/>
  <c r="C9" i="3"/>
  <c r="C10" i="3"/>
  <c r="C11" i="3"/>
  <c r="H1" i="1"/>
</calcChain>
</file>

<file path=xl/sharedStrings.xml><?xml version="1.0" encoding="utf-8"?>
<sst xmlns="http://schemas.openxmlformats.org/spreadsheetml/2006/main" count="162" uniqueCount="67">
  <si>
    <t>Region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</si>
  <si>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</si>
  <si>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</si>
  <si>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</si>
  <si>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</si>
  <si>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</si>
  <si>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</si>
  <si>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</si>
  <si>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</si>
  <si>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</si>
  <si>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</si>
  <si>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</si>
  <si>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</si>
  <si>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</si>
  <si>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</si>
  <si>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</si>
  <si>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</si>
  <si>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</si>
  <si>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</si>
  <si>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</si>
  <si>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</si>
  <si>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</si>
  <si>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</si>
  <si>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</si>
  <si>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</si>
  <si>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</si>
  <si>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</si>
  <si>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</si>
  <si>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</si>
  <si>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</si>
  <si>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</si>
  <si>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</si>
  <si>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</si>
  <si>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</si>
  <si>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</si>
  <si>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</si>
  <si>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</si>
  <si>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</si>
  <si>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</si>
  <si>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</si>
  <si>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</si>
  <si>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</si>
  <si>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</si>
  <si>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</si>
  <si>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</si>
  <si>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</si>
  <si>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</si>
  <si>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</si>
  <si>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</si>
  <si>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</si>
  <si>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</si>
  <si>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</si>
  <si>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</si>
  <si>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</si>
  <si>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</si>
  <si>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</si>
  <si>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</si>
  <si>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</si>
  <si>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</si>
  <si>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</si>
  <si>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</si>
  <si>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</si>
  <si>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</si>
  <si>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Sum of Milkshake</t>
  </si>
  <si>
    <t>Row Labels</t>
  </si>
  <si>
    <t>Grand Total</t>
  </si>
  <si>
    <t>Sum of Hamburger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</si>
</sst>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5"/>
      <color theme="1"/>
      <name val="Courier New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9" fontId="0" fillId="0" borderId="0" xfId="0" applyNumberFormat="1"/>
    <xf numFmtId="0" fontId="0" fillId="33" borderId="0" xfId="0" applyFill="1"/>
    <xf numFmtId="0" fontId="18" fillId="33" borderId="0" xfId="0" applyFont="1" applyFill="1"/>
    <xf numFmtId="0" fontId="0" fillId="34" borderId="0" xfId="0" applyFill="1"/>
    <xf numFmtId="0" fontId="0" fillId="0" borderId="0" xfId="0" applyFont="1"/>
    <xf numFmtId="0" fontId="0" fillId="0" borderId="0" xfId="0" applyAlignment="1">
      <alignment wrapText="1"/>
    </xf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'Sales Region Lookup'!$A$16:$A$36</c:f>
              <c:multiLvlStrCache>
                <c:ptCount val="10"/>
                <c:lvl>
                  <c:pt idx="0">
                    <c:v>Northwest</c:v>
                  </c:pt>
                  <c:pt idx="1">
                    <c:v>North Central</c:v>
                  </c:pt>
                  <c:pt idx="2">
                    <c:v>North Central</c:v>
                  </c:pt>
                  <c:pt idx="3">
                    <c:v>Northwest</c:v>
                  </c:pt>
                  <c:pt idx="4">
                    <c:v>North Central</c:v>
                  </c:pt>
                  <c:pt idx="5">
                    <c:v>North Central</c:v>
                  </c:pt>
                  <c:pt idx="6">
                    <c:v>Northwest</c:v>
                  </c:pt>
                  <c:pt idx="7">
                    <c:v>North Central</c:v>
                  </c:pt>
                  <c:pt idx="8">
                    <c:v>Northwest</c:v>
                  </c:pt>
                  <c:pt idx="9">
                    <c:v>North Central</c:v>
                  </c:pt>
                </c:lvl>
                <c:lvl>
                  <c:pt idx="0">
                    <c:v>Idaho</c:v>
                  </c:pt>
                  <c:pt idx="1">
                    <c:v>Michigan</c:v>
                  </c:pt>
                  <c:pt idx="2">
                    <c:v>Minnesota</c:v>
                  </c:pt>
                  <c:pt idx="3">
                    <c:v>Montana</c:v>
                  </c:pt>
                  <c:pt idx="4">
                    <c:v>Nebraska</c:v>
                  </c:pt>
                  <c:pt idx="5">
                    <c:v>North Dakota</c:v>
                  </c:pt>
                  <c:pt idx="6">
                    <c:v>Oregon</c:v>
                  </c:pt>
                  <c:pt idx="7">
                    <c:v>South Dakota</c:v>
                  </c:pt>
                  <c:pt idx="8">
                    <c:v>Washington</c:v>
                  </c:pt>
                  <c:pt idx="9">
                    <c:v>Wisconsin</c:v>
                  </c:pt>
                </c:lvl>
              </c:multiLvlStrCache>
            </c:multiLvlStrRef>
          </c:cat>
          <c:val>
            <c:numRef>
              <c:f>'Sales Region Lookup'!$B$16:$B$36</c:f>
              <c:numCache>
                <c:formatCode>0%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0.67</c:v>
                </c:pt>
                <c:pt idx="3">
                  <c:v>0.75</c:v>
                </c:pt>
                <c:pt idx="4">
                  <c:v>0.71</c:v>
                </c:pt>
                <c:pt idx="5">
                  <c:v>0.69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5-4257-B0F6-8256C6D9F937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'Sales Region Lookup'!$A$16:$A$36</c:f>
              <c:multiLvlStrCache>
                <c:ptCount val="10"/>
                <c:lvl>
                  <c:pt idx="0">
                    <c:v>Northwest</c:v>
                  </c:pt>
                  <c:pt idx="1">
                    <c:v>North Central</c:v>
                  </c:pt>
                  <c:pt idx="2">
                    <c:v>North Central</c:v>
                  </c:pt>
                  <c:pt idx="3">
                    <c:v>Northwest</c:v>
                  </c:pt>
                  <c:pt idx="4">
                    <c:v>North Central</c:v>
                  </c:pt>
                  <c:pt idx="5">
                    <c:v>North Central</c:v>
                  </c:pt>
                  <c:pt idx="6">
                    <c:v>Northwest</c:v>
                  </c:pt>
                  <c:pt idx="7">
                    <c:v>North Central</c:v>
                  </c:pt>
                  <c:pt idx="8">
                    <c:v>Northwest</c:v>
                  </c:pt>
                  <c:pt idx="9">
                    <c:v>North Central</c:v>
                  </c:pt>
                </c:lvl>
                <c:lvl>
                  <c:pt idx="0">
                    <c:v>Idaho</c:v>
                  </c:pt>
                  <c:pt idx="1">
                    <c:v>Michigan</c:v>
                  </c:pt>
                  <c:pt idx="2">
                    <c:v>Minnesota</c:v>
                  </c:pt>
                  <c:pt idx="3">
                    <c:v>Montana</c:v>
                  </c:pt>
                  <c:pt idx="4">
                    <c:v>Nebraska</c:v>
                  </c:pt>
                  <c:pt idx="5">
                    <c:v>North Dakota</c:v>
                  </c:pt>
                  <c:pt idx="6">
                    <c:v>Oregon</c:v>
                  </c:pt>
                  <c:pt idx="7">
                    <c:v>South Dakota</c:v>
                  </c:pt>
                  <c:pt idx="8">
                    <c:v>Washington</c:v>
                  </c:pt>
                  <c:pt idx="9">
                    <c:v>Wisconsin</c:v>
                  </c:pt>
                </c:lvl>
              </c:multiLvlStrCache>
            </c:multiLvlStrRef>
          </c:cat>
          <c:val>
            <c:numRef>
              <c:f>'Sales Region Lookup'!$C$16:$C$36</c:f>
              <c:numCache>
                <c:formatCode>0%</c:formatCode>
                <c:ptCount val="10"/>
                <c:pt idx="0">
                  <c:v>0.2</c:v>
                </c:pt>
                <c:pt idx="1">
                  <c:v>0.21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95-4257-B0F6-8256C6D9F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4239359"/>
        <c:axId val="1721578223"/>
      </c:barChart>
      <c:catAx>
        <c:axId val="162423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578223"/>
        <c:crosses val="autoZero"/>
        <c:auto val="1"/>
        <c:lblAlgn val="ctr"/>
        <c:lblOffset val="100"/>
        <c:noMultiLvlLbl val="0"/>
      </c:catAx>
      <c:valAx>
        <c:axId val="172157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23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11</xdr:row>
      <xdr:rowOff>52387</xdr:rowOff>
    </xdr:from>
    <xdr:to>
      <xdr:col>15</xdr:col>
      <xdr:colOff>419100</xdr:colOff>
      <xdr:row>25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C28B51-BA89-CAA3-5AE3-AD0E8FD18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sanroman" refreshedDate="46311.362776851849" createdVersion="8" refreshedVersion="8" minRefreshableVersion="3" recordCount="10" xr:uid="{EA33153D-1C22-491A-B4D5-3E76D258FB08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2"/>
  </r>
  <r>
    <x v="3"/>
    <x v="0"/>
    <n v="0.75"/>
    <n v="0.14000000000000001"/>
  </r>
  <r>
    <x v="4"/>
    <x v="1"/>
    <n v="0.69"/>
    <n v="0.19"/>
  </r>
  <r>
    <x v="5"/>
    <x v="1"/>
    <n v="0.76"/>
    <n v="0.14000000000000001"/>
  </r>
  <r>
    <x v="6"/>
    <x v="1"/>
    <n v="0.71"/>
    <n v="0.17"/>
  </r>
  <r>
    <x v="7"/>
    <x v="1"/>
    <n v="0.67"/>
    <n v="0.19"/>
  </r>
  <r>
    <x v="8"/>
    <x v="1"/>
    <n v="0.66"/>
    <n v="0.2"/>
  </r>
  <r>
    <x v="9"/>
    <x v="1"/>
    <n v="0.66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335CCA-970E-4C9B-BE7D-5AC2D938A4CF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36" firstHeaderRow="0" firstDataRow="1" firstDataCol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Row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2">
    <field x="0"/>
    <field x="1"/>
  </rowFields>
  <rowItems count="21">
    <i>
      <x/>
    </i>
    <i r="1">
      <x v="1"/>
    </i>
    <i>
      <x v="1"/>
    </i>
    <i r="1">
      <x/>
    </i>
    <i>
      <x v="2"/>
    </i>
    <i r="1">
      <x/>
    </i>
    <i>
      <x v="3"/>
    </i>
    <i r="1">
      <x v="1"/>
    </i>
    <i>
      <x v="4"/>
    </i>
    <i r="1">
      <x/>
    </i>
    <i>
      <x v="5"/>
    </i>
    <i r="1">
      <x/>
    </i>
    <i>
      <x v="6"/>
    </i>
    <i r="1">
      <x v="1"/>
    </i>
    <i>
      <x v="7"/>
    </i>
    <i r="1">
      <x/>
    </i>
    <i>
      <x v="8"/>
    </i>
    <i r="1">
      <x v="1"/>
    </i>
    <i>
      <x v="9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2972-42A1-46CC-A92B-41F9B67E7B0D}">
  <dimension ref="A1:K52"/>
  <sheetViews>
    <sheetView workbookViewId="0">
      <pane ySplit="1" topLeftCell="A21" activePane="bottomLeft" state="frozen"/>
      <selection pane="bottomLeft" activeCell="B1" sqref="B1:E52"/>
    </sheetView>
  </sheetViews>
  <sheetFormatPr defaultRowHeight="15" x14ac:dyDescent="0.25"/>
  <cols>
    <col min="1" max="1" width="14.140625" customWidth="1"/>
    <col min="2" max="2" width="23.5703125" customWidth="1"/>
    <col min="3" max="3" width="13" customWidth="1"/>
    <col min="4" max="4" width="12.5703125" customWidth="1"/>
    <col min="5" max="5" width="11" customWidth="1"/>
    <col min="6" max="6" width="11.140625" customWidth="1"/>
    <col min="7" max="7" width="11.5703125" customWidth="1"/>
    <col min="10" max="10" width="10.7109375" customWidth="1"/>
    <col min="11" max="11" width="15" customWidth="1"/>
  </cols>
  <sheetData>
    <row r="1" spans="1:11" ht="19.5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3">
        <f>COUNTA(B2:B52)</f>
        <v>51</v>
      </c>
      <c r="J1" t="s">
        <v>54</v>
      </c>
      <c r="K1" s="4" t="s">
        <v>55</v>
      </c>
    </row>
    <row r="2" spans="1:11" x14ac:dyDescent="0.2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11" x14ac:dyDescent="0.2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25">
      <c r="A4">
        <v>3</v>
      </c>
      <c r="B4" t="s">
        <v>16</v>
      </c>
      <c r="C4" s="1">
        <v>0.67</v>
      </c>
      <c r="D4" s="1">
        <v>0.2</v>
      </c>
      <c r="E4" s="1">
        <v>0.13</v>
      </c>
    </row>
    <row r="5" spans="1:11" x14ac:dyDescent="0.25">
      <c r="A5">
        <v>4</v>
      </c>
      <c r="B5" t="s">
        <v>15</v>
      </c>
      <c r="C5" s="1">
        <v>0.67</v>
      </c>
      <c r="D5" s="1">
        <v>0.21</v>
      </c>
      <c r="E5" s="1">
        <v>0.12</v>
      </c>
    </row>
    <row r="6" spans="1:11" x14ac:dyDescent="0.25">
      <c r="A6">
        <v>5</v>
      </c>
      <c r="B6" t="s">
        <v>31</v>
      </c>
      <c r="C6" s="1">
        <v>0.62</v>
      </c>
      <c r="D6" s="1">
        <v>0.2</v>
      </c>
      <c r="E6" s="1">
        <v>0.18</v>
      </c>
    </row>
    <row r="7" spans="1:11" x14ac:dyDescent="0.25">
      <c r="A7">
        <v>6</v>
      </c>
      <c r="B7" t="s">
        <v>39</v>
      </c>
      <c r="C7" s="1">
        <v>0.68</v>
      </c>
      <c r="D7" s="1">
        <v>0.18</v>
      </c>
      <c r="E7" s="1">
        <v>0.14000000000000001</v>
      </c>
    </row>
    <row r="8" spans="1:11" x14ac:dyDescent="0.25">
      <c r="A8">
        <v>7</v>
      </c>
      <c r="B8" t="s">
        <v>26</v>
      </c>
      <c r="C8" s="1">
        <v>0.65</v>
      </c>
      <c r="D8" s="1">
        <v>0.21</v>
      </c>
      <c r="E8" s="1">
        <v>0.14000000000000001</v>
      </c>
    </row>
    <row r="9" spans="1:11" x14ac:dyDescent="0.25">
      <c r="A9">
        <v>8</v>
      </c>
      <c r="B9" t="s">
        <v>8</v>
      </c>
      <c r="C9" s="1">
        <v>0.62</v>
      </c>
      <c r="D9" s="1">
        <v>0.25</v>
      </c>
      <c r="E9" s="1">
        <v>0.13</v>
      </c>
    </row>
    <row r="10" spans="1:11" x14ac:dyDescent="0.2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25">
      <c r="A11">
        <v>10</v>
      </c>
      <c r="B11" t="s">
        <v>29</v>
      </c>
      <c r="C11" s="1">
        <v>0.64</v>
      </c>
      <c r="D11" s="1">
        <v>0.22</v>
      </c>
      <c r="E11" s="1">
        <v>0.14000000000000001</v>
      </c>
    </row>
    <row r="12" spans="1:11" x14ac:dyDescent="0.25">
      <c r="A12">
        <v>11</v>
      </c>
      <c r="B12" t="s">
        <v>11</v>
      </c>
      <c r="C12" s="1">
        <v>0.62</v>
      </c>
      <c r="D12" s="1">
        <v>0.24</v>
      </c>
      <c r="E12" s="1">
        <v>0.14000000000000001</v>
      </c>
    </row>
    <row r="13" spans="1:11" x14ac:dyDescent="0.25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2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25">
      <c r="A15">
        <v>14</v>
      </c>
      <c r="B15" t="s">
        <v>12</v>
      </c>
      <c r="C15" s="1">
        <v>0.63</v>
      </c>
      <c r="D15" s="1">
        <v>0.23</v>
      </c>
      <c r="E15" s="1">
        <v>0.14000000000000001</v>
      </c>
    </row>
    <row r="16" spans="1:11" x14ac:dyDescent="0.25">
      <c r="A16">
        <v>15</v>
      </c>
      <c r="B16" t="s">
        <v>4</v>
      </c>
      <c r="C16" s="1">
        <v>0.63</v>
      </c>
      <c r="D16" s="1">
        <v>0.24</v>
      </c>
      <c r="E16" s="1">
        <v>0.13</v>
      </c>
    </row>
    <row r="17" spans="1:5" x14ac:dyDescent="0.25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25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5</v>
      </c>
      <c r="C19" s="1">
        <v>0.65</v>
      </c>
      <c r="D19" s="1">
        <v>0.22</v>
      </c>
      <c r="E19" s="1">
        <v>0.13</v>
      </c>
    </row>
    <row r="20" spans="1:5" x14ac:dyDescent="0.25">
      <c r="A20">
        <v>19</v>
      </c>
      <c r="B20" t="s">
        <v>30</v>
      </c>
      <c r="C20" s="1">
        <v>0.68</v>
      </c>
      <c r="D20" s="1">
        <v>0.2</v>
      </c>
      <c r="E20" s="1">
        <v>0.12</v>
      </c>
    </row>
    <row r="21" spans="1:5" x14ac:dyDescent="0.25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2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25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18</v>
      </c>
      <c r="C24" s="1">
        <v>0.66</v>
      </c>
      <c r="D24" s="1">
        <v>0.21</v>
      </c>
      <c r="E24" s="1">
        <v>0.13</v>
      </c>
    </row>
    <row r="25" spans="1:5" x14ac:dyDescent="0.25">
      <c r="A25">
        <v>24</v>
      </c>
      <c r="B25" t="s">
        <v>41</v>
      </c>
      <c r="C25" s="1">
        <v>0.67</v>
      </c>
      <c r="D25" s="1">
        <v>0.19</v>
      </c>
      <c r="E25" s="1">
        <v>0.14000000000000001</v>
      </c>
    </row>
    <row r="26" spans="1:5" x14ac:dyDescent="0.25">
      <c r="A26">
        <v>25</v>
      </c>
      <c r="B26" t="s">
        <v>24</v>
      </c>
      <c r="C26" s="1">
        <v>0.69</v>
      </c>
      <c r="D26" s="1">
        <v>0.2</v>
      </c>
      <c r="E26" s="1">
        <v>0.11</v>
      </c>
    </row>
    <row r="27" spans="1:5" x14ac:dyDescent="0.2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2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38</v>
      </c>
      <c r="C29" s="1">
        <v>0.71</v>
      </c>
      <c r="D29" s="1">
        <v>0.17</v>
      </c>
      <c r="E29" s="1">
        <v>0.12</v>
      </c>
    </row>
    <row r="30" spans="1:5" x14ac:dyDescent="0.25">
      <c r="A30">
        <v>29</v>
      </c>
      <c r="B30" t="s">
        <v>13</v>
      </c>
      <c r="C30" s="1">
        <v>0.65</v>
      </c>
      <c r="D30" s="1">
        <v>0.2</v>
      </c>
      <c r="E30" s="1">
        <v>0.15</v>
      </c>
    </row>
    <row r="31" spans="1:5" x14ac:dyDescent="0.25">
      <c r="A31">
        <v>30</v>
      </c>
      <c r="B31" t="s">
        <v>42</v>
      </c>
      <c r="C31" s="1">
        <v>0.65</v>
      </c>
      <c r="D31" s="1">
        <v>0.21</v>
      </c>
      <c r="E31" s="1">
        <v>0.14000000000000001</v>
      </c>
    </row>
    <row r="32" spans="1:5" x14ac:dyDescent="0.25">
      <c r="A32">
        <v>31</v>
      </c>
      <c r="B32" t="s">
        <v>19</v>
      </c>
      <c r="C32" s="1">
        <v>0.61</v>
      </c>
      <c r="D32" s="1">
        <v>0.23</v>
      </c>
      <c r="E32" s="1">
        <v>0.16</v>
      </c>
    </row>
    <row r="33" spans="1:5" x14ac:dyDescent="0.25">
      <c r="A33">
        <v>32</v>
      </c>
      <c r="B33" t="s">
        <v>35</v>
      </c>
      <c r="C33" s="1">
        <v>0.65</v>
      </c>
      <c r="D33" s="1">
        <v>0.21</v>
      </c>
      <c r="E33" s="1">
        <v>0.14000000000000001</v>
      </c>
    </row>
    <row r="34" spans="1:5" x14ac:dyDescent="0.25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25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25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14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10</v>
      </c>
      <c r="C38" s="1">
        <v>0.69</v>
      </c>
      <c r="D38" s="1">
        <v>0.2</v>
      </c>
      <c r="E38" s="1">
        <v>0.11</v>
      </c>
    </row>
    <row r="39" spans="1:5" x14ac:dyDescent="0.25">
      <c r="A39">
        <v>38</v>
      </c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25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22</v>
      </c>
      <c r="C41" s="1">
        <v>0.64</v>
      </c>
      <c r="D41" s="1">
        <v>0.23</v>
      </c>
      <c r="E41" s="1">
        <v>0.13</v>
      </c>
    </row>
    <row r="42" spans="1:5" x14ac:dyDescent="0.25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2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3</v>
      </c>
      <c r="C44" s="1">
        <v>0.67</v>
      </c>
      <c r="D44" s="1">
        <v>0.21</v>
      </c>
      <c r="E44" s="1">
        <v>0.12</v>
      </c>
    </row>
    <row r="45" spans="1:5" x14ac:dyDescent="0.25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25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25">
      <c r="A47">
        <v>46</v>
      </c>
      <c r="B47" t="s">
        <v>47</v>
      </c>
      <c r="C47" s="1">
        <v>0.68</v>
      </c>
      <c r="D47" s="1">
        <v>0.18</v>
      </c>
      <c r="E47" s="1">
        <v>0.14000000000000001</v>
      </c>
    </row>
    <row r="48" spans="1:5" x14ac:dyDescent="0.25">
      <c r="A48">
        <v>47</v>
      </c>
      <c r="B48" t="s">
        <v>21</v>
      </c>
      <c r="C48" s="1">
        <v>0.64</v>
      </c>
      <c r="D48" s="1">
        <v>0.22</v>
      </c>
      <c r="E48" s="1">
        <v>0.14000000000000001</v>
      </c>
    </row>
    <row r="49" spans="1:5" x14ac:dyDescent="0.25">
      <c r="A49">
        <v>48</v>
      </c>
      <c r="B49" t="s">
        <v>40</v>
      </c>
      <c r="C49" s="1">
        <v>0.67</v>
      </c>
      <c r="D49" s="1">
        <v>0.19</v>
      </c>
      <c r="E49" s="1">
        <v>0.14000000000000001</v>
      </c>
    </row>
    <row r="50" spans="1:5" x14ac:dyDescent="0.25">
      <c r="A50">
        <v>49</v>
      </c>
      <c r="B50" t="s">
        <v>7</v>
      </c>
      <c r="C50" s="1">
        <v>0.64</v>
      </c>
      <c r="D50" s="1">
        <v>0.24</v>
      </c>
      <c r="E50" s="1">
        <v>0.12</v>
      </c>
    </row>
    <row r="51" spans="1:5" x14ac:dyDescent="0.2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1" xr:uid="{742A2972-42A1-46CC-A92B-41F9B67E7B0D}"/>
  <sortState xmlns:xlrd2="http://schemas.microsoft.com/office/spreadsheetml/2017/richdata2" ref="B2:E52">
    <sortCondition ref="B1:B5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9C904-D172-4360-956E-F06B4A7257C9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2" customWidth="1"/>
    <col min="6" max="6" width="10.42578125" customWidth="1"/>
    <col min="10" max="10" width="18.7109375" customWidth="1"/>
    <col min="23" max="23" width="16.28515625" customWidth="1"/>
  </cols>
  <sheetData>
    <row r="1" spans="1:52" x14ac:dyDescent="0.25">
      <c r="A1" t="s">
        <v>0</v>
      </c>
      <c r="B1" t="s">
        <v>6</v>
      </c>
      <c r="C1" t="s">
        <v>50</v>
      </c>
      <c r="D1" t="s">
        <v>16</v>
      </c>
      <c r="E1" t="s">
        <v>15</v>
      </c>
      <c r="F1" t="s">
        <v>31</v>
      </c>
      <c r="G1" t="s">
        <v>39</v>
      </c>
      <c r="H1" t="s">
        <v>26</v>
      </c>
      <c r="I1" t="s">
        <v>8</v>
      </c>
      <c r="J1" t="s">
        <v>51</v>
      </c>
      <c r="K1" t="s">
        <v>29</v>
      </c>
      <c r="L1" t="s">
        <v>11</v>
      </c>
      <c r="M1" t="s">
        <v>48</v>
      </c>
      <c r="N1" t="s">
        <v>20</v>
      </c>
      <c r="O1" t="s">
        <v>12</v>
      </c>
      <c r="P1" t="s">
        <v>4</v>
      </c>
      <c r="Q1" t="s">
        <v>34</v>
      </c>
      <c r="R1" t="s">
        <v>23</v>
      </c>
      <c r="S1" t="s">
        <v>5</v>
      </c>
      <c r="T1" t="s">
        <v>30</v>
      </c>
      <c r="U1" t="s">
        <v>45</v>
      </c>
      <c r="V1" t="s">
        <v>28</v>
      </c>
      <c r="W1" t="s">
        <v>43</v>
      </c>
      <c r="X1" t="s">
        <v>18</v>
      </c>
      <c r="Y1" t="s">
        <v>41</v>
      </c>
      <c r="Z1" t="s">
        <v>24</v>
      </c>
      <c r="AA1" t="s">
        <v>27</v>
      </c>
      <c r="AB1" t="s">
        <v>49</v>
      </c>
      <c r="AC1" t="s">
        <v>38</v>
      </c>
      <c r="AD1" t="s">
        <v>13</v>
      </c>
      <c r="AE1" t="s">
        <v>42</v>
      </c>
      <c r="AF1" t="s">
        <v>19</v>
      </c>
      <c r="AG1" t="s">
        <v>35</v>
      </c>
      <c r="AH1" t="s">
        <v>37</v>
      </c>
      <c r="AI1" t="s">
        <v>2</v>
      </c>
      <c r="AJ1" t="s">
        <v>33</v>
      </c>
      <c r="AK1" t="s">
        <v>14</v>
      </c>
      <c r="AL1" t="s">
        <v>10</v>
      </c>
      <c r="AM1" t="s">
        <v>36</v>
      </c>
      <c r="AN1" t="s">
        <v>17</v>
      </c>
      <c r="AO1" t="s">
        <v>22</v>
      </c>
      <c r="AP1" t="s">
        <v>1</v>
      </c>
      <c r="AQ1" t="s">
        <v>44</v>
      </c>
      <c r="AR1" t="s">
        <v>3</v>
      </c>
      <c r="AS1" t="s">
        <v>25</v>
      </c>
      <c r="AT1" t="s">
        <v>9</v>
      </c>
      <c r="AU1" t="s">
        <v>47</v>
      </c>
      <c r="AV1" t="s">
        <v>21</v>
      </c>
      <c r="AW1" t="s">
        <v>40</v>
      </c>
      <c r="AX1" t="s">
        <v>7</v>
      </c>
      <c r="AY1" t="s">
        <v>32</v>
      </c>
      <c r="AZ1" t="s">
        <v>46</v>
      </c>
    </row>
    <row r="2" spans="1:52" x14ac:dyDescent="0.25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0.62</v>
      </c>
      <c r="G2" s="1">
        <v>0.68</v>
      </c>
      <c r="H2" s="1">
        <v>0.65</v>
      </c>
      <c r="I2" s="1">
        <v>0.62</v>
      </c>
      <c r="J2" s="1">
        <v>0.67</v>
      </c>
      <c r="K2" s="1">
        <v>0.64</v>
      </c>
      <c r="L2" s="1">
        <v>0.62</v>
      </c>
      <c r="M2" s="1">
        <v>0.73</v>
      </c>
      <c r="N2" s="1">
        <v>0.67</v>
      </c>
      <c r="O2" s="1">
        <v>0.63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0.62</v>
      </c>
      <c r="W2" s="1">
        <v>0.62</v>
      </c>
      <c r="X2" s="1">
        <v>0.66</v>
      </c>
      <c r="Y2" s="1">
        <v>0.67</v>
      </c>
      <c r="Z2" s="1">
        <v>0.69</v>
      </c>
      <c r="AA2" s="1">
        <v>0.67</v>
      </c>
      <c r="AB2" s="1">
        <v>0.75</v>
      </c>
      <c r="AC2" s="1">
        <v>0.71</v>
      </c>
      <c r="AD2" s="1">
        <v>0.65</v>
      </c>
      <c r="AE2" s="1">
        <v>0.65</v>
      </c>
      <c r="AF2" s="1">
        <v>0.61</v>
      </c>
      <c r="AG2" s="1">
        <v>0.65</v>
      </c>
      <c r="AH2" s="1">
        <v>0.62</v>
      </c>
      <c r="AI2" s="1">
        <v>0.63</v>
      </c>
      <c r="AJ2" s="1">
        <v>0.69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0.67</v>
      </c>
      <c r="AQ2" s="1">
        <v>0.76</v>
      </c>
      <c r="AR2" s="1">
        <v>0.67</v>
      </c>
      <c r="AS2" s="1">
        <v>0.67</v>
      </c>
      <c r="AT2" s="1">
        <v>0.65</v>
      </c>
      <c r="AU2" s="1">
        <v>0.68</v>
      </c>
      <c r="AV2" s="1">
        <v>0.64</v>
      </c>
      <c r="AW2" s="1">
        <v>0.67</v>
      </c>
      <c r="AX2" s="1">
        <v>0.64</v>
      </c>
      <c r="AY2" s="1">
        <v>0.66</v>
      </c>
      <c r="AZ2" s="1">
        <v>0.71</v>
      </c>
    </row>
    <row r="3" spans="1:52" x14ac:dyDescent="0.2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0.21</v>
      </c>
      <c r="I3" s="1">
        <v>0.25</v>
      </c>
      <c r="J3" s="1">
        <v>0.17</v>
      </c>
      <c r="K3" s="1">
        <v>0.22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0.19</v>
      </c>
      <c r="S3" s="1">
        <v>0.22</v>
      </c>
      <c r="T3" s="1">
        <v>0.2</v>
      </c>
      <c r="U3" s="1">
        <v>0.17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0.21</v>
      </c>
      <c r="AF3" s="1">
        <v>0.23</v>
      </c>
      <c r="AG3" s="1">
        <v>0.21</v>
      </c>
      <c r="AH3" s="1">
        <v>0.21</v>
      </c>
      <c r="AI3" s="1">
        <v>0.24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0.18</v>
      </c>
      <c r="AV3" s="1">
        <v>0.22</v>
      </c>
      <c r="AW3" s="1">
        <v>0.19</v>
      </c>
      <c r="AX3" s="1">
        <v>0.24</v>
      </c>
      <c r="AY3" s="1">
        <v>0.2</v>
      </c>
      <c r="AZ3" s="1">
        <v>0.16</v>
      </c>
    </row>
    <row r="4" spans="1:52" x14ac:dyDescent="0.2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0.18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0.15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0.14000000000000001</v>
      </c>
      <c r="AL4" s="1">
        <v>0.11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24F0-5F73-4555-9E2F-1E6B6A8D7ADB}">
  <dimension ref="A1:D36"/>
  <sheetViews>
    <sheetView tabSelected="1" workbookViewId="0">
      <selection activeCell="A15" sqref="A15"/>
    </sheetView>
  </sheetViews>
  <sheetFormatPr defaultRowHeight="15" x14ac:dyDescent="0.25"/>
  <cols>
    <col min="1" max="1" width="16.5703125" bestFit="1" customWidth="1"/>
    <col min="2" max="2" width="18" bestFit="1" customWidth="1"/>
    <col min="3" max="3" width="16.85546875" bestFit="1" customWidth="1"/>
    <col min="4" max="4" width="18.42578125" customWidth="1"/>
  </cols>
  <sheetData>
    <row r="1" spans="1:4" x14ac:dyDescent="0.25">
      <c r="A1" s="5" t="s">
        <v>59</v>
      </c>
      <c r="B1" t="s">
        <v>60</v>
      </c>
      <c r="C1" s="5" t="s">
        <v>56</v>
      </c>
      <c r="D1" s="7" t="s">
        <v>57</v>
      </c>
    </row>
    <row r="2" spans="1:4" x14ac:dyDescent="0.25">
      <c r="A2" s="5" t="s">
        <v>40</v>
      </c>
      <c r="B2" t="s">
        <v>61</v>
      </c>
      <c r="C2" s="7">
        <f>VLOOKUP('Sales Region Lookup'!A2, 'By Search Term'!B:C, 2, FALSE)</f>
        <v>0.67</v>
      </c>
      <c r="D2" s="7">
        <f>_xlfn.XLOOKUP(A2, 'By Search Term'!B1:B52, 'By Search Term'!D1:D52, "not found")</f>
        <v>0.19</v>
      </c>
    </row>
    <row r="3" spans="1:4" x14ac:dyDescent="0.25">
      <c r="A3" t="s">
        <v>36</v>
      </c>
      <c r="B3" t="s">
        <v>61</v>
      </c>
      <c r="C3" s="7">
        <f>VLOOKUP('Sales Region Lookup'!A3, 'By Search Term'!B:C, 2, FALSE)</f>
        <v>0.68</v>
      </c>
      <c r="D3" s="7">
        <f>_xlfn.XLOOKUP(A3, 'By Search Term'!B2:B53, 'By Search Term'!D2:D53, "not found")</f>
        <v>0.18</v>
      </c>
    </row>
    <row r="4" spans="1:4" x14ac:dyDescent="0.25">
      <c r="A4" t="s">
        <v>20</v>
      </c>
      <c r="B4" t="s">
        <v>61</v>
      </c>
      <c r="C4" s="7">
        <f>VLOOKUP('Sales Region Lookup'!A4, 'By Search Term'!B:C, 2, FALSE)</f>
        <v>0.67</v>
      </c>
      <c r="D4" s="7">
        <f>_xlfn.XLOOKUP(A4, 'By Search Term'!B3:B54, 'By Search Term'!D3:D54, "not found")</f>
        <v>0.2</v>
      </c>
    </row>
    <row r="5" spans="1:4" x14ac:dyDescent="0.25">
      <c r="A5" t="s">
        <v>49</v>
      </c>
      <c r="B5" t="s">
        <v>61</v>
      </c>
      <c r="C5" s="7">
        <f>VLOOKUP('Sales Region Lookup'!A5, 'By Search Term'!B:C, 2, FALSE)</f>
        <v>0.75</v>
      </c>
      <c r="D5" s="7">
        <f>_xlfn.XLOOKUP(A5, 'By Search Term'!B4:B55, 'By Search Term'!D4:D55, "not found")</f>
        <v>0.14000000000000001</v>
      </c>
    </row>
    <row r="6" spans="1:4" ht="15" customHeight="1" x14ac:dyDescent="0.25">
      <c r="A6" s="6" t="s">
        <v>33</v>
      </c>
      <c r="B6" t="s">
        <v>62</v>
      </c>
      <c r="C6" s="7">
        <f>VLOOKUP('Sales Region Lookup'!A6, 'By Search Term'!B:C, 2, FALSE)</f>
        <v>0.69</v>
      </c>
      <c r="D6" s="7">
        <f>_xlfn.XLOOKUP(A6, 'By Search Term'!B5:B56, 'By Search Term'!D5:D56, "not found")</f>
        <v>0.19</v>
      </c>
    </row>
    <row r="7" spans="1:4" x14ac:dyDescent="0.25">
      <c r="A7" t="s">
        <v>44</v>
      </c>
      <c r="B7" t="s">
        <v>62</v>
      </c>
      <c r="C7" s="7">
        <f>VLOOKUP('Sales Region Lookup'!A7, 'By Search Term'!B:C, 2, FALSE)</f>
        <v>0.76</v>
      </c>
      <c r="D7" s="7">
        <f>_xlfn.XLOOKUP(A7, 'By Search Term'!B6:B57, 'By Search Term'!D6:D57, "not found")</f>
        <v>0.14000000000000001</v>
      </c>
    </row>
    <row r="8" spans="1:4" x14ac:dyDescent="0.25">
      <c r="A8" t="s">
        <v>38</v>
      </c>
      <c r="B8" t="s">
        <v>62</v>
      </c>
      <c r="C8" s="7">
        <f>VLOOKUP('Sales Region Lookup'!A8, 'By Search Term'!B:C, 2, FALSE)</f>
        <v>0.71</v>
      </c>
      <c r="D8" s="7">
        <f>_xlfn.XLOOKUP(A8, 'By Search Term'!B7:B58, 'By Search Term'!D7:D58, "not found")</f>
        <v>0.17</v>
      </c>
    </row>
    <row r="9" spans="1:4" x14ac:dyDescent="0.25">
      <c r="A9" t="s">
        <v>41</v>
      </c>
      <c r="B9" t="s">
        <v>62</v>
      </c>
      <c r="C9" s="7">
        <f>VLOOKUP('Sales Region Lookup'!A9, 'By Search Term'!B:C, 2, FALSE)</f>
        <v>0.67</v>
      </c>
      <c r="D9" s="7">
        <f>_xlfn.XLOOKUP(A9, 'By Search Term'!B8:B59, 'By Search Term'!D8:D59, "not found")</f>
        <v>0.19</v>
      </c>
    </row>
    <row r="10" spans="1:4" x14ac:dyDescent="0.25">
      <c r="A10" t="s">
        <v>32</v>
      </c>
      <c r="B10" t="s">
        <v>62</v>
      </c>
      <c r="C10" s="7">
        <f>VLOOKUP('Sales Region Lookup'!A10, 'By Search Term'!B:C, 2, FALSE)</f>
        <v>0.66</v>
      </c>
      <c r="D10" s="7">
        <f>_xlfn.XLOOKUP(A10, 'By Search Term'!B9:B60, 'By Search Term'!D9:D60, "not found")</f>
        <v>0.2</v>
      </c>
    </row>
    <row r="11" spans="1:4" x14ac:dyDescent="0.25">
      <c r="A11" t="s">
        <v>18</v>
      </c>
      <c r="B11" t="s">
        <v>62</v>
      </c>
      <c r="C11" s="7">
        <f>VLOOKUP('Sales Region Lookup'!A11, 'By Search Term'!B:C, 2, FALSE)</f>
        <v>0.66</v>
      </c>
      <c r="D11" s="7">
        <f>_xlfn.XLOOKUP(A11, 'By Search Term'!B10:B61, 'By Search Term'!D10:D61, "not found")</f>
        <v>0.21</v>
      </c>
    </row>
    <row r="15" spans="1:4" x14ac:dyDescent="0.25">
      <c r="A15" s="8" t="s">
        <v>64</v>
      </c>
      <c r="B15" t="s">
        <v>66</v>
      </c>
      <c r="C15" t="s">
        <v>63</v>
      </c>
    </row>
    <row r="16" spans="1:4" x14ac:dyDescent="0.25">
      <c r="A16" s="9" t="s">
        <v>20</v>
      </c>
      <c r="B16" s="1">
        <v>0.67</v>
      </c>
      <c r="C16" s="1">
        <v>0.2</v>
      </c>
    </row>
    <row r="17" spans="1:3" x14ac:dyDescent="0.25">
      <c r="A17" s="10" t="s">
        <v>61</v>
      </c>
      <c r="B17" s="1">
        <v>0.67</v>
      </c>
      <c r="C17" s="1">
        <v>0.2</v>
      </c>
    </row>
    <row r="18" spans="1:3" x14ac:dyDescent="0.25">
      <c r="A18" s="9" t="s">
        <v>18</v>
      </c>
      <c r="B18" s="1">
        <v>0.66</v>
      </c>
      <c r="C18" s="1">
        <v>0.21</v>
      </c>
    </row>
    <row r="19" spans="1:3" x14ac:dyDescent="0.25">
      <c r="A19" s="10" t="s">
        <v>62</v>
      </c>
      <c r="B19" s="1">
        <v>0.66</v>
      </c>
      <c r="C19" s="1">
        <v>0.21</v>
      </c>
    </row>
    <row r="20" spans="1:3" x14ac:dyDescent="0.25">
      <c r="A20" s="9" t="s">
        <v>41</v>
      </c>
      <c r="B20" s="1">
        <v>0.67</v>
      </c>
      <c r="C20" s="1">
        <v>0.19</v>
      </c>
    </row>
    <row r="21" spans="1:3" x14ac:dyDescent="0.25">
      <c r="A21" s="10" t="s">
        <v>62</v>
      </c>
      <c r="B21" s="1">
        <v>0.67</v>
      </c>
      <c r="C21" s="1">
        <v>0.19</v>
      </c>
    </row>
    <row r="22" spans="1:3" x14ac:dyDescent="0.25">
      <c r="A22" s="9" t="s">
        <v>49</v>
      </c>
      <c r="B22" s="1">
        <v>0.75</v>
      </c>
      <c r="C22" s="1">
        <v>0.14000000000000001</v>
      </c>
    </row>
    <row r="23" spans="1:3" x14ac:dyDescent="0.25">
      <c r="A23" s="10" t="s">
        <v>61</v>
      </c>
      <c r="B23" s="1">
        <v>0.75</v>
      </c>
      <c r="C23" s="1">
        <v>0.14000000000000001</v>
      </c>
    </row>
    <row r="24" spans="1:3" x14ac:dyDescent="0.25">
      <c r="A24" s="9" t="s">
        <v>38</v>
      </c>
      <c r="B24" s="1">
        <v>0.71</v>
      </c>
      <c r="C24" s="1">
        <v>0.17</v>
      </c>
    </row>
    <row r="25" spans="1:3" x14ac:dyDescent="0.25">
      <c r="A25" s="10" t="s">
        <v>62</v>
      </c>
      <c r="B25" s="1">
        <v>0.71</v>
      </c>
      <c r="C25" s="1">
        <v>0.17</v>
      </c>
    </row>
    <row r="26" spans="1:3" x14ac:dyDescent="0.25">
      <c r="A26" s="9" t="s">
        <v>33</v>
      </c>
      <c r="B26" s="1">
        <v>0.69</v>
      </c>
      <c r="C26" s="1">
        <v>0.19</v>
      </c>
    </row>
    <row r="27" spans="1:3" x14ac:dyDescent="0.25">
      <c r="A27" s="10" t="s">
        <v>62</v>
      </c>
      <c r="B27" s="1">
        <v>0.69</v>
      </c>
      <c r="C27" s="1">
        <v>0.19</v>
      </c>
    </row>
    <row r="28" spans="1:3" x14ac:dyDescent="0.25">
      <c r="A28" s="9" t="s">
        <v>36</v>
      </c>
      <c r="B28" s="1">
        <v>0.68</v>
      </c>
      <c r="C28" s="1">
        <v>0.18</v>
      </c>
    </row>
    <row r="29" spans="1:3" x14ac:dyDescent="0.25">
      <c r="A29" s="10" t="s">
        <v>61</v>
      </c>
      <c r="B29" s="1">
        <v>0.68</v>
      </c>
      <c r="C29" s="1">
        <v>0.18</v>
      </c>
    </row>
    <row r="30" spans="1:3" x14ac:dyDescent="0.25">
      <c r="A30" s="9" t="s">
        <v>44</v>
      </c>
      <c r="B30" s="1">
        <v>0.76</v>
      </c>
      <c r="C30" s="1">
        <v>0.14000000000000001</v>
      </c>
    </row>
    <row r="31" spans="1:3" x14ac:dyDescent="0.25">
      <c r="A31" s="10" t="s">
        <v>62</v>
      </c>
      <c r="B31" s="1">
        <v>0.76</v>
      </c>
      <c r="C31" s="1">
        <v>0.14000000000000001</v>
      </c>
    </row>
    <row r="32" spans="1:3" x14ac:dyDescent="0.25">
      <c r="A32" s="9" t="s">
        <v>40</v>
      </c>
      <c r="B32" s="1">
        <v>0.67</v>
      </c>
      <c r="C32" s="1">
        <v>0.19</v>
      </c>
    </row>
    <row r="33" spans="1:3" x14ac:dyDescent="0.25">
      <c r="A33" s="10" t="s">
        <v>61</v>
      </c>
      <c r="B33" s="1">
        <v>0.67</v>
      </c>
      <c r="C33" s="1">
        <v>0.19</v>
      </c>
    </row>
    <row r="34" spans="1:3" x14ac:dyDescent="0.25">
      <c r="A34" s="9" t="s">
        <v>32</v>
      </c>
      <c r="B34" s="1">
        <v>0.66</v>
      </c>
      <c r="C34" s="1">
        <v>0.2</v>
      </c>
    </row>
    <row r="35" spans="1:3" x14ac:dyDescent="0.25">
      <c r="A35" s="10" t="s">
        <v>62</v>
      </c>
      <c r="B35" s="1">
        <v>0.66</v>
      </c>
      <c r="C35" s="1">
        <v>0.2</v>
      </c>
    </row>
    <row r="36" spans="1:3" x14ac:dyDescent="0.25">
      <c r="A36" s="9" t="s">
        <v>65</v>
      </c>
      <c r="B36" s="1">
        <v>6.92</v>
      </c>
      <c r="C36" s="1">
        <v>1.8099999999999998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sanroman</dc:creator>
  <cp:lastModifiedBy>ricardo sanroman-espinosa</cp:lastModifiedBy>
  <dcterms:created xsi:type="dcterms:W3CDTF">2026-10-14T15:25:23Z</dcterms:created>
  <dcterms:modified xsi:type="dcterms:W3CDTF">2026-10-16T12:43:03Z</dcterms:modified>
</cp:coreProperties>
</file>