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Documents\DataAnalytics\pre-week-2\"/>
    </mc:Choice>
  </mc:AlternateContent>
  <xr:revisionPtr revIDLastSave="0" documentId="13_ncr:1_{B81B6DB8-4754-436B-86A3-FE76D804A325}" xr6:coauthVersionLast="47" xr6:coauthVersionMax="47" xr10:uidLastSave="{00000000-0000-0000-0000-000000000000}"/>
  <bookViews>
    <workbookView xWindow="15750" yWindow="0" windowWidth="13110" windowHeight="15585" xr2:uid="{3B5D81BD-B9E4-480E-94E0-D5CCB8CAA8EC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7" i="1"/>
  <c r="E5" i="1"/>
  <c r="E4" i="1"/>
  <c r="E3" i="1"/>
  <c r="E2" i="1"/>
</calcChain>
</file>

<file path=xl/sharedStrings.xml><?xml version="1.0" encoding="utf-8"?>
<sst xmlns="http://schemas.openxmlformats.org/spreadsheetml/2006/main" count="23" uniqueCount="23">
  <si>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</si>
  <si>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</si>
  <si>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</si>
  <si>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</si>
  <si>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</si>
  <si>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</si>
  <si>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</si>
  <si>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</si>
  <si>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</si>
  <si>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</si>
  <si>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</si>
  <si>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</si>
  <si>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</si>
  <si>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</si>
  <si>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Metric</t>
  </si>
  <si>
    <t>Value</t>
  </si>
  <si>
    <t>Mean</t>
  </si>
  <si>
    <t>Median</t>
  </si>
  <si>
    <t>Mode</t>
  </si>
  <si>
    <t>Range</t>
  </si>
  <si>
    <t>All Stores</t>
  </si>
  <si>
    <t>Without H</t>
  </si>
  <si>
    <t>Across all 12 locations, stores sold an average of 49.42 units per month, with a median of 47.5 and a mode of 46. At first glance, the performance seems spread out because the standard deviation for all stores is 7.63. Store H is an outlier with 72 sales, which pulls the average up and inflates the variation. When Store H is removed, the standard deviation drops to 2.91, showing that the remaining 11 stores actually perform almost identically. To better understand these numbers, I would want to look at additional information such as store size, foot traffic, and promotion.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</si>
</sst>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6619-7F28-408D-9321-F10821FDB1AA}">
  <dimension ref="A1:E13"/>
  <sheetViews>
    <sheetView tabSelected="1" workbookViewId="0">
      <selection activeCell="D8" sqref="D8"/>
    </sheetView>
  </sheetViews>
  <sheetFormatPr defaultRowHeight="14.25"/>
  <sheetData>
    <row r="1" spans="1:5">
      <c r="A1" t="s">
        <v>0</v>
      </c>
      <c r="B1" t="s">
        <v>1</v>
      </c>
      <c r="D1" t="s">
        <v>14</v>
      </c>
      <c r="E1" t="s">
        <v>15</v>
      </c>
    </row>
    <row r="2" spans="1:5">
      <c r="A2" t="s">
        <v>2</v>
      </c>
      <c r="B2">
        <v>51</v>
      </c>
      <c r="D2" t="s">
        <v>16</v>
      </c>
      <c r="E2">
        <f>AVERAGE(B2:B13)</f>
        <v>49.416666666666664</v>
      </c>
    </row>
    <row r="3" spans="1:5">
      <c r="A3" t="s">
        <v>3</v>
      </c>
      <c r="B3">
        <v>44</v>
      </c>
      <c r="D3" t="s">
        <v>17</v>
      </c>
      <c r="E3">
        <f>MEDIAN(B2:B13)</f>
        <v>47.5</v>
      </c>
    </row>
    <row r="4" spans="1:5">
      <c r="A4" t="s">
        <v>4</v>
      </c>
      <c r="B4">
        <v>49</v>
      </c>
      <c r="D4" t="s">
        <v>18</v>
      </c>
      <c r="E4">
        <f>_xlfn.MODE.SNGL(B2:B13)</f>
        <v>46</v>
      </c>
    </row>
    <row r="5" spans="1:5">
      <c r="A5" t="s">
        <v>5</v>
      </c>
      <c r="B5">
        <v>46</v>
      </c>
      <c r="D5" t="s">
        <v>19</v>
      </c>
      <c r="E5">
        <f>MAX(B2:B13)-MIN(B2:B13)</f>
        <v>29</v>
      </c>
    </row>
    <row r="6" spans="1:5">
      <c r="A6" t="s">
        <v>6</v>
      </c>
      <c r="B6">
        <v>52</v>
      </c>
      <c r="D6" t="s">
        <v>20</v>
      </c>
      <c r="E6">
        <f>_xlfn.STDEV.S(B2:B13)</f>
        <v>7.6331613054586773</v>
      </c>
    </row>
    <row r="7" spans="1:5">
      <c r="A7" t="s">
        <v>7</v>
      </c>
      <c r="B7">
        <v>47</v>
      </c>
      <c r="D7" t="s">
        <v>21</v>
      </c>
      <c r="E7">
        <f>_xlfn.STDEV.S(B2:B8, B10:B13)</f>
        <v>2.9076701075853588</v>
      </c>
    </row>
    <row r="8" spans="1:5">
      <c r="A8" t="s">
        <v>8</v>
      </c>
      <c r="B8">
        <v>45</v>
      </c>
    </row>
    <row r="9" spans="1:5">
      <c r="A9" t="s">
        <v>9</v>
      </c>
      <c r="B9">
        <v>72</v>
      </c>
    </row>
    <row r="10" spans="1:5">
      <c r="A10" t="s">
        <v>10</v>
      </c>
      <c r="B10">
        <v>43</v>
      </c>
    </row>
    <row r="11" spans="1:5">
      <c r="A11" t="s">
        <v>11</v>
      </c>
      <c r="B11">
        <v>48</v>
      </c>
    </row>
    <row r="12" spans="1:5">
      <c r="A12" t="s">
        <v>12</v>
      </c>
      <c r="B12">
        <v>46</v>
      </c>
    </row>
    <row r="13" spans="1:5">
      <c r="A13" t="s">
        <v>13</v>
      </c>
      <c r="B13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60DF-8BD7-4030-BF05-46E99E4E8564}">
  <dimension ref="A1"/>
  <sheetViews>
    <sheetView workbookViewId="0"/>
  </sheetViews>
  <sheetFormatPr defaultRowHeight="14.25"/>
  <cols>
    <col min="1" max="1" width="73.625" customWidth="1"/>
  </cols>
  <sheetData>
    <row r="1" spans="1:1" ht="315">
      <c r="A1" s="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sanroman-espinosa</dc:creator>
  <cp:lastModifiedBy>ricardo sanroman-espinosa</cp:lastModifiedBy>
  <dcterms:created xsi:type="dcterms:W3CDTF">2026-09-30T21:24:37Z</dcterms:created>
  <dcterms:modified xsi:type="dcterms:W3CDTF">2026-09-30T22:00:29Z</dcterms:modified>
</cp:coreProperties>
</file>